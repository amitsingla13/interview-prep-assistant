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s &amp; Assumptions" sheetId="1" state="visible" r:id="rId3"/>
    <sheet name="Calculations &amp; Results" sheetId="2" state="visible" r:id="rId4"/>
    <sheet name="Executiv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<sst xmlns="http://schemas.openxmlformats.org/spreadsheetml/2006/main" count="138" uniqueCount="93">
  <si>
    <t xml:space="preserve">AI IT Helpdesk — Business Case Calculator</t>
  </si>
  <si>
    <t xml:space="preserve">ORGANIZATION PARAMETERS</t>
  </si>
  <si>
    <t xml:space="preserve">Value</t>
  </si>
  <si>
    <t xml:space="preserve">Unit</t>
  </si>
  <si>
    <t xml:space="preserve">Total Employees + Contractors</t>
  </si>
  <si>
    <t xml:space="preserve">Helpdesk Contacts per Hour</t>
  </si>
  <si>
    <t xml:space="preserve">contacts/hr</t>
  </si>
  <si>
    <t xml:space="preserve">Operating Hours per Day (business hours)</t>
  </si>
  <si>
    <t xml:space="preserve">hours</t>
  </si>
  <si>
    <t xml:space="preserve">Average Resolution Time (Human)</t>
  </si>
  <si>
    <t xml:space="preserve">minutes</t>
  </si>
  <si>
    <t xml:space="preserve">Working Days per Year</t>
  </si>
  <si>
    <t xml:space="preserve">days</t>
  </si>
  <si>
    <t xml:space="preserve">Average L1 Agent Cost (fully loaded, annual)</t>
  </si>
  <si>
    <t xml:space="preserve">$/year</t>
  </si>
  <si>
    <t xml:space="preserve">Average Employee Hourly Cost (blended)</t>
  </si>
  <si>
    <t xml:space="preserve">$/hour</t>
  </si>
  <si>
    <t xml:space="preserve">Productive Hours per Agent per Day</t>
  </si>
  <si>
    <t xml:space="preserve">AI SOLUTION PARAMETERS</t>
  </si>
  <si>
    <t xml:space="preserve">AI Deflection Rate (L1)</t>
  </si>
  <si>
    <t xml:space="preserve">%</t>
  </si>
  <si>
    <t xml:space="preserve">AI Average Resolution Time</t>
  </si>
  <si>
    <t xml:space="preserve">AI Off-Hours Deflection Rate</t>
  </si>
  <si>
    <t xml:space="preserve">Off-Hours Shift Premium Multiplier</t>
  </si>
  <si>
    <t xml:space="preserve">x</t>
  </si>
  <si>
    <t xml:space="preserve">Additional Off-Hours per Day</t>
  </si>
  <si>
    <t xml:space="preserve">SOLUTION COST (ANNUAL)</t>
  </si>
  <si>
    <t xml:space="preserve">OpenAI API Cost (annual)</t>
  </si>
  <si>
    <t xml:space="preserve">Cloud Hosting (annual)</t>
  </si>
  <si>
    <t xml:space="preserve">Development &amp; Maintenance FTEs (annual)</t>
  </si>
  <si>
    <t xml:space="preserve">Total Annual Solution Cost</t>
  </si>
  <si>
    <t xml:space="preserve">AI IT Helpdesk — Calculated Results</t>
  </si>
  <si>
    <t xml:space="preserve">CURRENT STATE (Without AI)</t>
  </si>
  <si>
    <t xml:space="preserve">Calculated</t>
  </si>
  <si>
    <t xml:space="preserve">Contacts per Day</t>
  </si>
  <si>
    <t xml:space="preserve">contacts</t>
  </si>
  <si>
    <t xml:space="preserve">Total Minutes per Day (employee time)</t>
  </si>
  <si>
    <t xml:space="preserve">Total Hours per Day (employee time)</t>
  </si>
  <si>
    <t xml:space="preserve">Total Hours per Year (employee time)</t>
  </si>
  <si>
    <t xml:space="preserve">Annual Employee Productivity Cost</t>
  </si>
  <si>
    <t xml:space="preserve">$</t>
  </si>
  <si>
    <t xml:space="preserve">Agent-Hours Needed per Day</t>
  </si>
  <si>
    <t xml:space="preserve">L1 Agents Needed</t>
  </si>
  <si>
    <t xml:space="preserve">agents</t>
  </si>
  <si>
    <t xml:space="preserve">Annual L1 Staffing Cost</t>
  </si>
  <si>
    <t xml:space="preserve">WITH AI HELPDESK</t>
  </si>
  <si>
    <t xml:space="preserve">AI Handles (contacts/day)</t>
  </si>
  <si>
    <t xml:space="preserve">Human Handles (contacts/day)</t>
  </si>
  <si>
    <t xml:space="preserve">AI Minutes per Day</t>
  </si>
  <si>
    <t xml:space="preserve">Human Minutes per Day</t>
  </si>
  <si>
    <t xml:space="preserve">Total Minutes per Day (with AI)</t>
  </si>
  <si>
    <t xml:space="preserve">Total Hours per Year (with AI)</t>
  </si>
  <si>
    <t xml:space="preserve">Annual Employee Productivity Cost (with AI)</t>
  </si>
  <si>
    <t xml:space="preserve">Human Agent-Hours per Day</t>
  </si>
  <si>
    <t xml:space="preserve">L1 Agents Needed (with AI)</t>
  </si>
  <si>
    <t xml:space="preserve">Annual L1 Staffing Cost (with AI)</t>
  </si>
  <si>
    <t xml:space="preserve">24/7 COVERAGE ANALYSIS</t>
  </si>
  <si>
    <t xml:space="preserve">Off-Hours Contacts per Day</t>
  </si>
  <si>
    <t xml:space="preserve">Off-Hours Minutes per Day (human)</t>
  </si>
  <si>
    <t xml:space="preserve">Off-Hours Agent-Hours per Day</t>
  </si>
  <si>
    <t xml:space="preserve">Off-Hours Agents Needed (human only)</t>
  </si>
  <si>
    <t xml:space="preserve">Off-Hours Annual Cost (human, with premium)</t>
  </si>
  <si>
    <t xml:space="preserve">Off-Hours AI Handles (%)</t>
  </si>
  <si>
    <t xml:space="preserve">Off-Hours Human Agents (with AI)</t>
  </si>
  <si>
    <t xml:space="preserve">Off-Hours Annual Cost (with AI, with premium)</t>
  </si>
  <si>
    <t xml:space="preserve">ANNUAL SAVINGS SUMMARY</t>
  </si>
  <si>
    <t xml:space="preserve">Annual $</t>
  </si>
  <si>
    <t xml:space="preserve">Employee Productivity Savings</t>
  </si>
  <si>
    <t xml:space="preserve">L1 Staffing Savings</t>
  </si>
  <si>
    <t xml:space="preserve">Agents Reduced</t>
  </si>
  <si>
    <t xml:space="preserve">24/7 Coverage Cost Avoidance</t>
  </si>
  <si>
    <t xml:space="preserve">TOTAL ANNUAL BENEFIT</t>
  </si>
  <si>
    <t xml:space="preserve">Return on Investment (ROI)</t>
  </si>
  <si>
    <t xml:space="preserve">Payback Period</t>
  </si>
  <si>
    <t xml:space="preserve">AI IT Helpdesk — Executive Summary</t>
  </si>
  <si>
    <t xml:space="preserve">Metric</t>
  </si>
  <si>
    <t xml:space="preserve">Current (No AI)</t>
  </si>
  <si>
    <t xml:space="preserve">With AI</t>
  </si>
  <si>
    <t xml:space="preserve">Savings</t>
  </si>
  <si>
    <t xml:space="preserve">—</t>
  </si>
  <si>
    <t xml:space="preserve">Avg Resolution Time (min)</t>
  </si>
  <si>
    <t xml:space="preserve">Employee Hours Lost / Year</t>
  </si>
  <si>
    <t xml:space="preserve">L1 Agents Required</t>
  </si>
  <si>
    <t xml:space="preserve">Annual Productivity Cost</t>
  </si>
  <si>
    <t xml:space="preserve">24/7 Coverage Cost</t>
  </si>
  <si>
    <t xml:space="preserve">Total Solution Cost</t>
  </si>
  <si>
    <t xml:space="preserve">NET ANNUAL BENEFIT</t>
  </si>
  <si>
    <t xml:space="preserve">ROI</t>
  </si>
  <si>
    <t xml:space="preserve">HOW TO USE:</t>
  </si>
  <si>
    <t xml:space="preserve">1. Go to "Inputs &amp; Assumptions" sheet</t>
  </si>
  <si>
    <t xml:space="preserve">2. Modify any blue-shaded cell to change assumptions</t>
  </si>
  <si>
    <t xml:space="preserve">3. All calculations update automatically</t>
  </si>
  <si>
    <t xml:space="preserve">4. View results on "Calculations" and this summary sheet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</si>
</sst>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0%"/>
    <numFmt numFmtId="168" formatCode="0.0"/>
    <numFmt numFmtId="169" formatCode="\$#,##0"/>
    <numFmt numFmtId="170" formatCode="#,##0.0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C9211E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6EFCE"/>
      </patternFill>
    </fill>
    <fill>
      <patternFill patternType="solid">
        <fgColor rgb="FFDAEEF3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AEE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23" activeCellId="0" sqref="B23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7.35" hidden="false" customHeight="true" outlineLevel="0" collapsed="false">
      <c r="B1" s="1" t="s">
        <v>0</v>
      </c>
      <c r="C1" s="1"/>
    </row>
    <row r="3" customFormat="false" ht="15" hidden="false" customHeight="false" outlineLevel="0" collapsed="false">
      <c r="B3" s="2" t="s">
        <v>1</v>
      </c>
      <c r="C3" s="2" t="s">
        <v>2</v>
      </c>
      <c r="D3" s="2" t="s">
        <v>3</v>
      </c>
    </row>
    <row r="4" customFormat="false" ht="15" hidden="false" customHeight="false" outlineLevel="0" collapsed="false">
      <c r="B4" s="3" t="s">
        <v>4</v>
      </c>
      <c r="C4" s="4" t="n">
        <v>40000</v>
      </c>
      <c r="D4" s="3"/>
    </row>
    <row r="5" customFormat="false" ht="15" hidden="false" customHeight="false" outlineLevel="0" collapsed="false">
      <c r="B5" s="3" t="s">
        <v>5</v>
      </c>
      <c r="C5" s="4" t="n">
        <v>500</v>
      </c>
      <c r="D5" s="3" t="s">
        <v>6</v>
      </c>
    </row>
    <row r="6" customFormat="false" ht="15" hidden="false" customHeight="false" outlineLevel="0" collapsed="false">
      <c r="B6" s="3" t="s">
        <v>7</v>
      </c>
      <c r="C6" s="5" t="n">
        <v>8</v>
      </c>
      <c r="D6" s="3" t="s">
        <v>8</v>
      </c>
    </row>
    <row r="7" customFormat="false" ht="15" hidden="false" customHeight="false" outlineLevel="0" collapsed="false">
      <c r="B7" s="3" t="s">
        <v>9</v>
      </c>
      <c r="C7" s="5" t="n">
        <v>5</v>
      </c>
      <c r="D7" s="3" t="s">
        <v>10</v>
      </c>
    </row>
    <row r="8" customFormat="false" ht="15" hidden="false" customHeight="false" outlineLevel="0" collapsed="false">
      <c r="B8" s="3" t="s">
        <v>11</v>
      </c>
      <c r="C8" s="4" t="n">
        <v>250</v>
      </c>
      <c r="D8" s="3" t="s">
        <v>12</v>
      </c>
    </row>
    <row r="9" customFormat="false" ht="15" hidden="false" customHeight="false" outlineLevel="0" collapsed="false">
      <c r="B9" s="3" t="s">
        <v>13</v>
      </c>
      <c r="C9" s="4" t="n">
        <v>45000</v>
      </c>
      <c r="D9" s="3" t="s">
        <v>14</v>
      </c>
    </row>
    <row r="10" customFormat="false" ht="15" hidden="false" customHeight="false" outlineLevel="0" collapsed="false">
      <c r="B10" s="3" t="s">
        <v>15</v>
      </c>
      <c r="C10" s="5" t="n">
        <v>50</v>
      </c>
      <c r="D10" s="3" t="s">
        <v>16</v>
      </c>
    </row>
    <row r="11" customFormat="false" ht="15" hidden="false" customHeight="false" outlineLevel="0" collapsed="false">
      <c r="B11" s="3" t="s">
        <v>17</v>
      </c>
      <c r="C11" s="5" t="n">
        <v>6</v>
      </c>
      <c r="D11" s="3" t="s">
        <v>8</v>
      </c>
    </row>
    <row r="13" customFormat="false" ht="15" hidden="false" customHeight="false" outlineLevel="0" collapsed="false">
      <c r="B13" s="2" t="s">
        <v>18</v>
      </c>
      <c r="C13" s="2" t="s">
        <v>2</v>
      </c>
      <c r="D13" s="2" t="s">
        <v>3</v>
      </c>
    </row>
    <row r="14" customFormat="false" ht="15" hidden="false" customHeight="false" outlineLevel="0" collapsed="false">
      <c r="B14" s="3" t="s">
        <v>19</v>
      </c>
      <c r="C14" s="6" t="n">
        <v>0.6</v>
      </c>
      <c r="D14" s="3" t="s">
        <v>20</v>
      </c>
    </row>
    <row r="15" customFormat="false" ht="15" hidden="false" customHeight="false" outlineLevel="0" collapsed="false">
      <c r="B15" s="3" t="s">
        <v>21</v>
      </c>
      <c r="C15" s="5" t="n">
        <v>3</v>
      </c>
      <c r="D15" s="3" t="s">
        <v>10</v>
      </c>
    </row>
    <row r="16" customFormat="false" ht="15" hidden="false" customHeight="false" outlineLevel="0" collapsed="false">
      <c r="B16" s="3" t="s">
        <v>22</v>
      </c>
      <c r="C16" s="6" t="n">
        <v>0.8</v>
      </c>
      <c r="D16" s="3" t="s">
        <v>20</v>
      </c>
    </row>
    <row r="17" customFormat="false" ht="15" hidden="false" customHeight="false" outlineLevel="0" collapsed="false">
      <c r="B17" s="3" t="s">
        <v>23</v>
      </c>
      <c r="C17" s="7" t="n">
        <v>1.3</v>
      </c>
      <c r="D17" s="3" t="s">
        <v>24</v>
      </c>
    </row>
    <row r="18" customFormat="false" ht="15" hidden="false" customHeight="false" outlineLevel="0" collapsed="false">
      <c r="B18" s="3" t="s">
        <v>25</v>
      </c>
      <c r="C18" s="5" t="n">
        <v>14</v>
      </c>
      <c r="D18" s="3" t="s">
        <v>8</v>
      </c>
    </row>
    <row r="20" customFormat="false" ht="15" hidden="false" customHeight="false" outlineLevel="0" collapsed="false">
      <c r="B20" s="2" t="s">
        <v>26</v>
      </c>
      <c r="C20" s="2" t="s">
        <v>2</v>
      </c>
      <c r="D20" s="2" t="s">
        <v>3</v>
      </c>
    </row>
    <row r="21" customFormat="false" ht="15" hidden="false" customHeight="false" outlineLevel="0" collapsed="false">
      <c r="B21" s="3" t="s">
        <v>27</v>
      </c>
      <c r="C21" s="4" t="n">
        <v>200000</v>
      </c>
      <c r="D21" s="3" t="s">
        <v>14</v>
      </c>
    </row>
    <row r="22" customFormat="false" ht="15" hidden="false" customHeight="false" outlineLevel="0" collapsed="false">
      <c r="B22" s="3" t="s">
        <v>28</v>
      </c>
      <c r="C22" s="4" t="n">
        <v>40000</v>
      </c>
      <c r="D22" s="3" t="s">
        <v>14</v>
      </c>
    </row>
    <row r="23" customFormat="false" ht="15" hidden="false" customHeight="false" outlineLevel="0" collapsed="false">
      <c r="B23" s="3" t="s">
        <v>29</v>
      </c>
      <c r="C23" s="4" t="n">
        <v>375000</v>
      </c>
      <c r="D23" s="3" t="s">
        <v>14</v>
      </c>
    </row>
    <row r="24" customFormat="false" ht="15" hidden="false" customHeight="false" outlineLevel="0" collapsed="false">
      <c r="B24" s="8" t="s">
        <v>30</v>
      </c>
      <c r="C24" s="9" t="n">
        <f aca="false">SUM(C21:C23)</f>
        <v>615000</v>
      </c>
      <c r="D24" s="10" t="s">
        <v>14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3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28"/>
    <col collapsed="false" customWidth="true" hidden="false" outlineLevel="0" max="4" min="4" style="0" width="14"/>
  </cols>
  <sheetData>
    <row r="1" customFormat="false" ht="17.35" hidden="false" customHeight="true" outlineLevel="0" collapsed="false">
      <c r="B1" s="1" t="s">
        <v>31</v>
      </c>
      <c r="C1" s="1"/>
    </row>
    <row r="3" customFormat="false" ht="15" hidden="false" customHeight="false" outlineLevel="0" collapsed="false">
      <c r="B3" s="2" t="s">
        <v>32</v>
      </c>
      <c r="C3" s="2" t="s">
        <v>33</v>
      </c>
      <c r="D3" s="2" t="s">
        <v>3</v>
      </c>
    </row>
    <row r="4" customFormat="false" ht="15" hidden="false" customHeight="false" outlineLevel="0" collapsed="false">
      <c r="B4" s="11" t="s">
        <v>34</v>
      </c>
      <c r="C4" s="12" t="n">
        <f aca="false">'Inputs &amp; Assumptions'!C5*'Inputs &amp; Assumptions'!C6</f>
        <v>4000</v>
      </c>
      <c r="D4" s="11" t="s">
        <v>35</v>
      </c>
    </row>
    <row r="5" customFormat="false" ht="15" hidden="false" customHeight="false" outlineLevel="0" collapsed="false">
      <c r="B5" s="11" t="s">
        <v>36</v>
      </c>
      <c r="C5" s="12" t="n">
        <f aca="false">C4*'Inputs &amp; Assumptions'!C7</f>
        <v>20000</v>
      </c>
      <c r="D5" s="11" t="s">
        <v>10</v>
      </c>
    </row>
    <row r="6" customFormat="false" ht="15" hidden="false" customHeight="false" outlineLevel="0" collapsed="false">
      <c r="B6" s="11" t="s">
        <v>37</v>
      </c>
      <c r="C6" s="13" t="n">
        <f aca="false">C5/60</f>
        <v>333.333333333333</v>
      </c>
      <c r="D6" s="11" t="s">
        <v>8</v>
      </c>
    </row>
    <row r="7" customFormat="false" ht="15" hidden="false" customHeight="false" outlineLevel="0" collapsed="false">
      <c r="B7" s="11" t="s">
        <v>38</v>
      </c>
      <c r="C7" s="12" t="n">
        <f aca="false">C6*'Inputs &amp; Assumptions'!C8</f>
        <v>83333.3333333333</v>
      </c>
      <c r="D7" s="11" t="s">
        <v>8</v>
      </c>
    </row>
    <row r="8" customFormat="false" ht="15" hidden="false" customHeight="false" outlineLevel="0" collapsed="false">
      <c r="B8" s="11" t="s">
        <v>39</v>
      </c>
      <c r="C8" s="14" t="n">
        <f aca="false">C7*'Inputs &amp; Assumptions'!C10</f>
        <v>4166666.66666667</v>
      </c>
      <c r="D8" s="11" t="s">
        <v>40</v>
      </c>
    </row>
    <row r="9" customFormat="false" ht="15" hidden="false" customHeight="false" outlineLevel="0" collapsed="false">
      <c r="B9" s="11" t="s">
        <v>41</v>
      </c>
      <c r="C9" s="13" t="n">
        <f aca="false">C5/60</f>
        <v>333.333333333333</v>
      </c>
      <c r="D9" s="11" t="s">
        <v>8</v>
      </c>
    </row>
    <row r="10" customFormat="false" ht="15" hidden="false" customHeight="false" outlineLevel="0" collapsed="false">
      <c r="B10" s="11" t="s">
        <v>42</v>
      </c>
      <c r="C10" s="12" t="n">
        <f aca="false">ROUNDUP(C9/'Inputs &amp; Assumptions'!C11,0)</f>
        <v>56</v>
      </c>
      <c r="D10" s="11" t="s">
        <v>43</v>
      </c>
    </row>
    <row r="11" customFormat="false" ht="15" hidden="false" customHeight="false" outlineLevel="0" collapsed="false">
      <c r="B11" s="11" t="s">
        <v>44</v>
      </c>
      <c r="C11" s="14" t="n">
        <f aca="false">C10*'Inputs &amp; Assumptions'!C9</f>
        <v>2520000</v>
      </c>
      <c r="D11" s="11" t="s">
        <v>40</v>
      </c>
    </row>
    <row r="13" customFormat="false" ht="15" hidden="false" customHeight="false" outlineLevel="0" collapsed="false">
      <c r="B13" s="2" t="s">
        <v>45</v>
      </c>
      <c r="C13" s="2" t="s">
        <v>33</v>
      </c>
      <c r="D13" s="2" t="s">
        <v>3</v>
      </c>
    </row>
    <row r="14" customFormat="false" ht="15" hidden="false" customHeight="false" outlineLevel="0" collapsed="false">
      <c r="B14" s="11" t="s">
        <v>46</v>
      </c>
      <c r="C14" s="12" t="n">
        <f aca="false">C4*'Inputs &amp; Assumptions'!C14</f>
        <v>2400</v>
      </c>
      <c r="D14" s="11" t="s">
        <v>35</v>
      </c>
    </row>
    <row r="15" customFormat="false" ht="15" hidden="false" customHeight="false" outlineLevel="0" collapsed="false">
      <c r="B15" s="11" t="s">
        <v>47</v>
      </c>
      <c r="C15" s="12" t="n">
        <f aca="false">C4*(1-'Inputs &amp; Assumptions'!C14)</f>
        <v>1600</v>
      </c>
      <c r="D15" s="11" t="s">
        <v>35</v>
      </c>
    </row>
    <row r="16" customFormat="false" ht="15" hidden="false" customHeight="false" outlineLevel="0" collapsed="false">
      <c r="B16" s="11" t="s">
        <v>48</v>
      </c>
      <c r="C16" s="12" t="n">
        <f aca="false">C14*'Inputs &amp; Assumptions'!C15</f>
        <v>7200</v>
      </c>
      <c r="D16" s="11" t="s">
        <v>10</v>
      </c>
    </row>
    <row r="17" customFormat="false" ht="15" hidden="false" customHeight="false" outlineLevel="0" collapsed="false">
      <c r="B17" s="11" t="s">
        <v>49</v>
      </c>
      <c r="C17" s="12" t="n">
        <f aca="false">C15*'Inputs &amp; Assumptions'!C7</f>
        <v>8000</v>
      </c>
      <c r="D17" s="11" t="s">
        <v>10</v>
      </c>
    </row>
    <row r="18" customFormat="false" ht="15" hidden="false" customHeight="false" outlineLevel="0" collapsed="false">
      <c r="B18" s="11" t="s">
        <v>50</v>
      </c>
      <c r="C18" s="12" t="n">
        <f aca="false">C16+C17</f>
        <v>15200</v>
      </c>
      <c r="D18" s="11" t="s">
        <v>10</v>
      </c>
    </row>
    <row r="19" customFormat="false" ht="15" hidden="false" customHeight="false" outlineLevel="0" collapsed="false">
      <c r="B19" s="11" t="s">
        <v>51</v>
      </c>
      <c r="C19" s="12" t="n">
        <f aca="false">(C18/60)*'Inputs &amp; Assumptions'!C8</f>
        <v>63333.3333333333</v>
      </c>
      <c r="D19" s="11" t="s">
        <v>8</v>
      </c>
    </row>
    <row r="20" customFormat="false" ht="15" hidden="false" customHeight="false" outlineLevel="0" collapsed="false">
      <c r="B20" s="11" t="s">
        <v>52</v>
      </c>
      <c r="C20" s="14" t="n">
        <f aca="false">C19*'Inputs &amp; Assumptions'!C10</f>
        <v>3166666.66666667</v>
      </c>
      <c r="D20" s="11" t="s">
        <v>40</v>
      </c>
    </row>
    <row r="21" customFormat="false" ht="15" hidden="false" customHeight="false" outlineLevel="0" collapsed="false">
      <c r="B21" s="11" t="s">
        <v>53</v>
      </c>
      <c r="C21" s="13" t="n">
        <f aca="false">C17/60</f>
        <v>133.333333333333</v>
      </c>
      <c r="D21" s="11" t="s">
        <v>8</v>
      </c>
    </row>
    <row r="22" customFormat="false" ht="15" hidden="false" customHeight="false" outlineLevel="0" collapsed="false">
      <c r="B22" s="11" t="s">
        <v>54</v>
      </c>
      <c r="C22" s="12" t="n">
        <f aca="false">ROUNDUP(C21/'Inputs &amp; Assumptions'!C11,0)</f>
        <v>23</v>
      </c>
      <c r="D22" s="11" t="s">
        <v>43</v>
      </c>
    </row>
    <row r="23" customFormat="false" ht="15" hidden="false" customHeight="false" outlineLevel="0" collapsed="false">
      <c r="B23" s="11" t="s">
        <v>55</v>
      </c>
      <c r="C23" s="14" t="n">
        <f aca="false">C22*'Inputs &amp; Assumptions'!C9</f>
        <v>1035000</v>
      </c>
      <c r="D23" s="11" t="s">
        <v>40</v>
      </c>
    </row>
    <row r="25" customFormat="false" ht="15" hidden="false" customHeight="false" outlineLevel="0" collapsed="false">
      <c r="B25" s="2" t="s">
        <v>56</v>
      </c>
      <c r="C25" s="2" t="s">
        <v>33</v>
      </c>
      <c r="D25" s="2" t="s">
        <v>3</v>
      </c>
    </row>
    <row r="26" customFormat="false" ht="15" hidden="false" customHeight="false" outlineLevel="0" collapsed="false">
      <c r="B26" s="11" t="s">
        <v>57</v>
      </c>
      <c r="C26" s="12" t="n">
        <f aca="false">'Inputs &amp; Assumptions'!C5*'Inputs &amp; Assumptions'!C18</f>
        <v>7000</v>
      </c>
      <c r="D26" s="11" t="s">
        <v>35</v>
      </c>
    </row>
    <row r="27" customFormat="false" ht="15" hidden="false" customHeight="false" outlineLevel="0" collapsed="false">
      <c r="B27" s="11" t="s">
        <v>58</v>
      </c>
      <c r="C27" s="12" t="n">
        <f aca="false">C26*'Inputs &amp; Assumptions'!C7</f>
        <v>35000</v>
      </c>
      <c r="D27" s="11" t="s">
        <v>10</v>
      </c>
    </row>
    <row r="28" customFormat="false" ht="15" hidden="false" customHeight="false" outlineLevel="0" collapsed="false">
      <c r="B28" s="11" t="s">
        <v>59</v>
      </c>
      <c r="C28" s="13" t="n">
        <f aca="false">C27/60</f>
        <v>583.333333333333</v>
      </c>
      <c r="D28" s="11" t="s">
        <v>8</v>
      </c>
    </row>
    <row r="29" customFormat="false" ht="15" hidden="false" customHeight="false" outlineLevel="0" collapsed="false">
      <c r="B29" s="11" t="s">
        <v>60</v>
      </c>
      <c r="C29" s="12" t="n">
        <f aca="false">ROUNDUP(C28/'Inputs &amp; Assumptions'!C11,0)</f>
        <v>98</v>
      </c>
      <c r="D29" s="11" t="s">
        <v>43</v>
      </c>
    </row>
    <row r="30" customFormat="false" ht="15" hidden="false" customHeight="false" outlineLevel="0" collapsed="false">
      <c r="B30" s="11" t="s">
        <v>61</v>
      </c>
      <c r="C30" s="14" t="n">
        <f aca="false">C29*'Inputs &amp; Assumptions'!C9*'Inputs &amp; Assumptions'!C17</f>
        <v>5733000</v>
      </c>
      <c r="D30" s="11" t="s">
        <v>40</v>
      </c>
    </row>
    <row r="31" customFormat="false" ht="15" hidden="false" customHeight="false" outlineLevel="0" collapsed="false">
      <c r="B31" s="11" t="s">
        <v>62</v>
      </c>
      <c r="C31" s="15" t="n">
        <f aca="false">'Inputs &amp; Assumptions'!C16</f>
        <v>0.8</v>
      </c>
      <c r="D31" s="11" t="s">
        <v>20</v>
      </c>
    </row>
    <row r="32" customFormat="false" ht="15" hidden="false" customHeight="false" outlineLevel="0" collapsed="false">
      <c r="B32" s="11" t="s">
        <v>63</v>
      </c>
      <c r="C32" s="12" t="n">
        <f aca="false">ROUNDUP(C29*(1-'Inputs &amp; Assumptions'!C16),0)</f>
        <v>20</v>
      </c>
      <c r="D32" s="11" t="s">
        <v>43</v>
      </c>
    </row>
    <row r="33" customFormat="false" ht="15" hidden="false" customHeight="false" outlineLevel="0" collapsed="false">
      <c r="B33" s="11" t="s">
        <v>64</v>
      </c>
      <c r="C33" s="14" t="n">
        <f aca="false">C32*'Inputs &amp; Assumptions'!C9*'Inputs &amp; Assumptions'!C17</f>
        <v>1170000</v>
      </c>
      <c r="D33" s="11" t="s">
        <v>40</v>
      </c>
    </row>
    <row r="35" customFormat="false" ht="15" hidden="false" customHeight="false" outlineLevel="0" collapsed="false">
      <c r="B35" s="2" t="s">
        <v>65</v>
      </c>
      <c r="C35" s="2" t="s">
        <v>66</v>
      </c>
      <c r="D35" s="2"/>
    </row>
    <row r="36" customFormat="false" ht="15" hidden="false" customHeight="false" outlineLevel="0" collapsed="false">
      <c r="B36" s="16" t="s">
        <v>67</v>
      </c>
      <c r="C36" s="17" t="n">
        <f aca="false">C8-C20</f>
        <v>1000000</v>
      </c>
    </row>
    <row r="37" customFormat="false" ht="15" hidden="false" customHeight="false" outlineLevel="0" collapsed="false">
      <c r="B37" s="16" t="s">
        <v>68</v>
      </c>
      <c r="C37" s="17" t="n">
        <f aca="false">C11-C23</f>
        <v>1485000</v>
      </c>
    </row>
    <row r="38" customFormat="false" ht="15" hidden="false" customHeight="false" outlineLevel="0" collapsed="false">
      <c r="B38" s="16" t="s">
        <v>69</v>
      </c>
      <c r="C38" s="18" t="n">
        <f aca="false">C10-C22</f>
        <v>33</v>
      </c>
    </row>
    <row r="39" customFormat="false" ht="15" hidden="false" customHeight="false" outlineLevel="0" collapsed="false">
      <c r="B39" s="16" t="s">
        <v>70</v>
      </c>
      <c r="C39" s="17" t="n">
        <f aca="false">C30-C33</f>
        <v>4563000</v>
      </c>
    </row>
    <row r="40" customFormat="false" ht="16.15" hidden="false" customHeight="false" outlineLevel="0" collapsed="false">
      <c r="B40" s="19" t="s">
        <v>71</v>
      </c>
      <c r="C40" s="20" t="n">
        <f aca="false">C36+C37+C39</f>
        <v>7048000</v>
      </c>
    </row>
    <row r="41" customFormat="false" ht="15" hidden="false" customHeight="false" outlineLevel="0" collapsed="false">
      <c r="B41" s="8" t="s">
        <v>30</v>
      </c>
      <c r="C41" s="9" t="n">
        <f aca="false">'Inputs &amp; Assumptions'!C24</f>
        <v>615000</v>
      </c>
    </row>
    <row r="42" customFormat="false" ht="15" hidden="false" customHeight="false" outlineLevel="0" collapsed="false">
      <c r="B42" s="21" t="s">
        <v>72</v>
      </c>
      <c r="C42" s="22" t="n">
        <f aca="false">C40/C41</f>
        <v>11.460162601626</v>
      </c>
    </row>
    <row r="43" customFormat="false" ht="15" hidden="false" customHeight="false" outlineLevel="0" collapsed="false">
      <c r="B43" s="21" t="s">
        <v>73</v>
      </c>
      <c r="C43" s="21" t="str">
        <f aca="false">ROUND(365/C42,0)&amp;" days"</f>
        <v>32 days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B9" activeCellId="0" sqref="B9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22"/>
  </cols>
  <sheetData>
    <row r="1" customFormat="false" ht="17.35" hidden="false" customHeight="true" outlineLevel="0" collapsed="false">
      <c r="B1" s="1" t="s">
        <v>74</v>
      </c>
      <c r="C1" s="1"/>
      <c r="D1" s="1"/>
      <c r="E1" s="1"/>
    </row>
    <row r="3" customFormat="false" ht="15" hidden="false" customHeight="false" outlineLevel="0" collapsed="false">
      <c r="B3" s="2" t="s">
        <v>75</v>
      </c>
      <c r="C3" s="2" t="s">
        <v>76</v>
      </c>
      <c r="D3" s="2" t="s">
        <v>77</v>
      </c>
      <c r="E3" s="2" t="s">
        <v>78</v>
      </c>
    </row>
    <row r="4" customFormat="false" ht="15" hidden="false" customHeight="false" outlineLevel="0" collapsed="false">
      <c r="B4" s="11" t="s">
        <v>34</v>
      </c>
      <c r="C4" s="12" t="n">
        <f aca="false">'Calculations &amp; Results'!C4</f>
        <v>4000</v>
      </c>
      <c r="D4" s="12" t="n">
        <f aca="false">'Calculations &amp; Results'!C4</f>
        <v>4000</v>
      </c>
      <c r="E4" s="11" t="s">
        <v>79</v>
      </c>
    </row>
    <row r="5" customFormat="false" ht="15" hidden="false" customHeight="false" outlineLevel="0" collapsed="false">
      <c r="B5" s="11" t="s">
        <v>80</v>
      </c>
      <c r="C5" s="23" t="n">
        <f aca="false">'Inputs &amp; Assumptions'!C7</f>
        <v>5</v>
      </c>
      <c r="D5" s="23" t="n">
        <f aca="false">'Inputs &amp; Assumptions'!C15</f>
        <v>3</v>
      </c>
      <c r="E5" s="11" t="s">
        <v>79</v>
      </c>
    </row>
    <row r="6" customFormat="false" ht="15" hidden="false" customHeight="false" outlineLevel="0" collapsed="false">
      <c r="B6" s="11" t="s">
        <v>81</v>
      </c>
      <c r="C6" s="12" t="n">
        <f aca="false">'Calculations &amp; Results'!C7</f>
        <v>83333.3333333333</v>
      </c>
      <c r="D6" s="12" t="n">
        <f aca="false">'Calculations &amp; Results'!C19</f>
        <v>63333.3333333333</v>
      </c>
      <c r="E6" s="18" t="n">
        <f aca="false">'Calculations &amp; Results'!C7-'Calculations &amp; Results'!C19</f>
        <v>20000</v>
      </c>
    </row>
    <row r="7" customFormat="false" ht="15" hidden="false" customHeight="false" outlineLevel="0" collapsed="false">
      <c r="B7" s="11" t="s">
        <v>82</v>
      </c>
      <c r="C7" s="12" t="n">
        <f aca="false">'Calculations &amp; Results'!C10</f>
        <v>56</v>
      </c>
      <c r="D7" s="12" t="n">
        <f aca="false">'Calculations &amp; Results'!C22</f>
        <v>23</v>
      </c>
      <c r="E7" s="18" t="n">
        <f aca="false">'Calculations &amp; Results'!C10-'Calculations &amp; Results'!C22</f>
        <v>33</v>
      </c>
    </row>
    <row r="8" customFormat="false" ht="15" hidden="false" customHeight="false" outlineLevel="0" collapsed="false">
      <c r="B8" s="11" t="s">
        <v>83</v>
      </c>
      <c r="C8" s="14" t="n">
        <f aca="false">'Calculations &amp; Results'!C8</f>
        <v>4166666.66666667</v>
      </c>
      <c r="D8" s="14" t="n">
        <f aca="false">'Calculations &amp; Results'!C20</f>
        <v>3166666.66666667</v>
      </c>
      <c r="E8" s="17" t="n">
        <f aca="false">'Calculations &amp; Results'!C8-'Calculations &amp; Results'!C20</f>
        <v>1000000</v>
      </c>
    </row>
    <row r="9" customFormat="false" ht="15" hidden="false" customHeight="false" outlineLevel="0" collapsed="false">
      <c r="B9" s="11" t="s">
        <v>44</v>
      </c>
      <c r="C9" s="14" t="n">
        <f aca="false">'Calculations &amp; Results'!C11</f>
        <v>2520000</v>
      </c>
      <c r="D9" s="14" t="n">
        <f aca="false">'Calculations &amp; Results'!C23</f>
        <v>1035000</v>
      </c>
      <c r="E9" s="17" t="n">
        <f aca="false">'Calculations &amp; Results'!C11-'Calculations &amp; Results'!C23</f>
        <v>1485000</v>
      </c>
    </row>
    <row r="10" customFormat="false" ht="15" hidden="false" customHeight="false" outlineLevel="0" collapsed="false">
      <c r="B10" s="24" t="s">
        <v>84</v>
      </c>
      <c r="C10" s="14" t="n">
        <f aca="false">'Calculations &amp; Results'!C30</f>
        <v>5733000</v>
      </c>
      <c r="D10" s="14" t="n">
        <f aca="false">'Calculations &amp; Results'!C33</f>
        <v>1170000</v>
      </c>
      <c r="E10" s="17" t="n">
        <f aca="false">'Calculations &amp; Results'!C30-'Calculations &amp; Results'!C33</f>
        <v>4563000</v>
      </c>
    </row>
    <row r="12" customFormat="false" ht="16.15" hidden="false" customHeight="false" outlineLevel="0" collapsed="false">
      <c r="B12" s="19" t="s">
        <v>71</v>
      </c>
      <c r="C12" s="19"/>
      <c r="D12" s="19"/>
      <c r="E12" s="20" t="n">
        <f aca="false">'Calculations &amp; Results'!C40</f>
        <v>7048000</v>
      </c>
    </row>
    <row r="13" customFormat="false" ht="15" hidden="false" customHeight="false" outlineLevel="0" collapsed="false">
      <c r="B13" s="8" t="s">
        <v>85</v>
      </c>
      <c r="C13" s="10"/>
      <c r="D13" s="10"/>
      <c r="E13" s="9" t="n">
        <f aca="false">'Inputs &amp; Assumptions'!C24</f>
        <v>615000</v>
      </c>
    </row>
    <row r="14" customFormat="false" ht="15" hidden="false" customHeight="false" outlineLevel="0" collapsed="false">
      <c r="B14" s="21" t="s">
        <v>86</v>
      </c>
      <c r="C14" s="16"/>
      <c r="D14" s="16"/>
      <c r="E14" s="17" t="n">
        <f aca="false">E12-E13</f>
        <v>6433000</v>
      </c>
    </row>
    <row r="15" customFormat="false" ht="15" hidden="false" customHeight="false" outlineLevel="0" collapsed="false">
      <c r="B15" s="21" t="s">
        <v>87</v>
      </c>
      <c r="C15" s="16"/>
      <c r="D15" s="16"/>
      <c r="E15" s="22" t="n">
        <f aca="false">E12/E13</f>
        <v>11.460162601626</v>
      </c>
    </row>
    <row r="17" customFormat="false" ht="15" hidden="false" customHeight="false" outlineLevel="0" collapsed="false">
      <c r="B17" s="25" t="s">
        <v>88</v>
      </c>
    </row>
    <row r="18" customFormat="false" ht="15" hidden="false" customHeight="false" outlineLevel="0" collapsed="false">
      <c r="B18" s="3" t="s">
        <v>89</v>
      </c>
    </row>
    <row r="19" customFormat="false" ht="25" hidden="false" customHeight="false" outlineLevel="0" collapsed="false">
      <c r="B19" s="3" t="s">
        <v>90</v>
      </c>
    </row>
    <row r="20" customFormat="false" ht="15" hidden="false" customHeight="false" outlineLevel="0" collapsed="false">
      <c r="B20" s="3" t="s">
        <v>91</v>
      </c>
    </row>
    <row r="21" customFormat="false" ht="25" hidden="false" customHeight="false" outlineLevel="0" collapsed="false">
      <c r="B21" s="3" t="s">
        <v>92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2026-02-19T12:57:11Z</dcterms:created>
  <dc:creator>openpyxl</dc:creator>
  <dc:description/>
  <dc:language>en-US</dc:language>
  <cp:lastModifiedBy/>
  <dcterms:modified xsi:type="dcterms:W3CDTF">2026-02-19T14:02:04Z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